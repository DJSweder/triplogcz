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weder\OneDrive\Dokumenty\DevProjects\Kniha jízd\"/>
    </mc:Choice>
  </mc:AlternateContent>
  <xr:revisionPtr revIDLastSave="0" documentId="13_ncr:1_{53D47D4F-D6CE-476E-88C9-8A6AEEA00A27}" xr6:coauthVersionLast="47" xr6:coauthVersionMax="47" xr10:uidLastSave="{00000000-0000-0000-0000-000000000000}"/>
  <bookViews>
    <workbookView xWindow="-120" yWindow="-120" windowWidth="29040" windowHeight="17520" xr2:uid="{AD6C9787-A60B-4AC0-958D-3BA21B358AB5}"/>
  </bookViews>
  <sheets>
    <sheet name="Konfigurace a start" sheetId="388" r:id="rId1"/>
    <sheet name="Auta" sheetId="1" r:id="rId2"/>
    <sheet name="Nákup PHM" sheetId="4" r:id="rId3"/>
    <sheet name="Čerpací stanice" sheetId="2" r:id="rId4"/>
    <sheet name="Lokality" sheetId="143" r:id="rId5"/>
  </sheets>
  <functionGroups builtInGroupCount="19"/>
  <definedNames>
    <definedName name="_xlnm._FilterDatabase" localSheetId="2" hidden="1">'Nákup PHM'!$A$1:$E$1</definedName>
    <definedName name="_xleta.AND" hidden="1" xlm="1">#NAME?</definedName>
    <definedName name="_xleta.COLUMN" hidden="1">#NAME?</definedName>
    <definedName name="_xleta.DAY" hidden="1" xlm="1">#NAME?</definedName>
    <definedName name="_xleta.OR" hidden="1" xlm="1">#NAME?</definedName>
    <definedName name="_xleta.ROW" hidden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F2" i="1"/>
  <c r="E2" i="1"/>
  <c r="D2" i="1"/>
  <c r="C2" i="1"/>
  <c r="B2" i="1"/>
  <c r="A2" i="1"/>
  <c r="E11" i="4"/>
  <c r="E7" i="4"/>
  <c r="E12" i="4"/>
  <c r="E3" i="4"/>
  <c r="E6" i="4"/>
  <c r="E10" i="4"/>
  <c r="E17" i="4"/>
  <c r="E5" i="4"/>
  <c r="E8" i="4"/>
  <c r="E14" i="4"/>
  <c r="E15" i="4"/>
  <c r="E16" i="4"/>
  <c r="E9" i="4"/>
  <c r="E2" i="4"/>
  <c r="E4" i="4"/>
  <c r="E13" i="4"/>
</calcChain>
</file>

<file path=xl/sharedStrings.xml><?xml version="1.0" encoding="utf-8"?>
<sst xmlns="http://schemas.openxmlformats.org/spreadsheetml/2006/main" count="113" uniqueCount="64">
  <si>
    <t>Značka</t>
  </si>
  <si>
    <t>Domovská lokalita</t>
  </si>
  <si>
    <t>Spotřeba na 100km</t>
  </si>
  <si>
    <t>Počáteční stav tachometru</t>
  </si>
  <si>
    <t>RZ</t>
  </si>
  <si>
    <t>Audi A5</t>
  </si>
  <si>
    <t>Praha 6 - Patočkova</t>
  </si>
  <si>
    <t>3AT5842</t>
  </si>
  <si>
    <t>Místo tankování</t>
  </si>
  <si>
    <t>Lokalita</t>
  </si>
  <si>
    <t>Praha 4 - Kongresové centrum</t>
  </si>
  <si>
    <t>Praha 4 - Podolí</t>
  </si>
  <si>
    <t>Chomutov - Pražská</t>
  </si>
  <si>
    <t>Východ u Prahy</t>
  </si>
  <si>
    <t>Praha 6 - Ankarská</t>
  </si>
  <si>
    <t>Praha 6 - Evropská</t>
  </si>
  <si>
    <t>Praha 5 - Strakonická</t>
  </si>
  <si>
    <t>Dubí - Pozorka</t>
  </si>
  <si>
    <t>Praha</t>
  </si>
  <si>
    <t>Datum</t>
  </si>
  <si>
    <t>Místo</t>
  </si>
  <si>
    <t>Množství (l)</t>
  </si>
  <si>
    <t>Cena za 1 l (Kč)</t>
  </si>
  <si>
    <t>Celkem (Kč)</t>
  </si>
  <si>
    <t>Jméno a příjmení řidiče</t>
  </si>
  <si>
    <t>Petr Novotný</t>
  </si>
  <si>
    <t>Typ vozidla</t>
  </si>
  <si>
    <t>osobní</t>
  </si>
  <si>
    <t>Typ</t>
  </si>
  <si>
    <t>Chomutov</t>
  </si>
  <si>
    <t>MimoPraha</t>
  </si>
  <si>
    <t>Brno</t>
  </si>
  <si>
    <t>Praha 4 - Pankrác</t>
  </si>
  <si>
    <t>Praha 5 - Zličín</t>
  </si>
  <si>
    <t>Praha 9 - Letňany</t>
  </si>
  <si>
    <t>03.12.2024</t>
  </si>
  <si>
    <t>10.12.2024</t>
  </si>
  <si>
    <t>11.12.2024</t>
  </si>
  <si>
    <t>20.12.2024</t>
  </si>
  <si>
    <t>25.12.2024</t>
  </si>
  <si>
    <t>01.12.2024</t>
  </si>
  <si>
    <t>05.12.2024</t>
  </si>
  <si>
    <t>07.12.2024</t>
  </si>
  <si>
    <t>12.12.2024</t>
  </si>
  <si>
    <t>14.12.2024</t>
  </si>
  <si>
    <t>17.12.2024</t>
  </si>
  <si>
    <t>19.12.2024</t>
  </si>
  <si>
    <t>22.12.2024</t>
  </si>
  <si>
    <t>23.12.2024</t>
  </si>
  <si>
    <t>27.12.2024</t>
  </si>
  <si>
    <t>31.12.2024</t>
  </si>
  <si>
    <t>Praha 9 - Balabenka SHELL</t>
  </si>
  <si>
    <t>Praha 4 - Kongresová</t>
  </si>
  <si>
    <t>Brno - Heršpická SHELL</t>
  </si>
  <si>
    <t>Počáteční čas jízd</t>
  </si>
  <si>
    <t>Konečný čas jízd</t>
  </si>
  <si>
    <t>Minimální délka cesty v km</t>
  </si>
  <si>
    <t>Maximální počet jízd za den</t>
  </si>
  <si>
    <t>Nastavení parametrů knihy jízd</t>
  </si>
  <si>
    <t>Informace o vozidle a řidiči</t>
  </si>
  <si>
    <t>Kritéria jednotlivých jízd</t>
  </si>
  <si>
    <t>Objem nádrže v l</t>
  </si>
  <si>
    <t>Průměrná rychlost jízdy ve městě v km/h</t>
  </si>
  <si>
    <t>Průměrná rychlost jízdy mimo město v km/h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</si>
</sst>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[hh]:mm:ss;@"/>
    <numFmt numFmtId="168" formatCode="[h]:mm:ss;@"/>
  </numFmts>
  <fonts count="27" x14ac:knownFonts="1">
    <font>
      <sz val="11"/>
      <color indexed="8"/>
      <name val="Aptos Narrow"/>
      <family val="2"/>
      <charset val="238"/>
    </font>
    <font>
      <sz val="11"/>
      <color theme="1"/>
      <name val="Aptos Narrow"/>
      <family val="2"/>
      <charset val="238"/>
      <scheme val="minor"/>
    </font>
    <font>
      <sz val="18"/>
      <color theme="3"/>
      <name val="Aptos Display"/>
      <family val="2"/>
      <charset val="238"/>
      <scheme val="maj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006100"/>
      <name val="Aptos Narrow"/>
      <family val="2"/>
      <charset val="238"/>
      <scheme val="minor"/>
    </font>
    <font>
      <sz val="11"/>
      <color rgb="FF9C0006"/>
      <name val="Aptos Narrow"/>
      <family val="2"/>
      <charset val="238"/>
      <scheme val="minor"/>
    </font>
    <font>
      <sz val="11"/>
      <color rgb="FF9C5700"/>
      <name val="Aptos Narrow"/>
      <family val="2"/>
      <charset val="238"/>
      <scheme val="minor"/>
    </font>
    <font>
      <sz val="11"/>
      <color rgb="FF3F3F76"/>
      <name val="Aptos Narrow"/>
      <family val="2"/>
      <charset val="238"/>
      <scheme val="minor"/>
    </font>
    <font>
      <b/>
      <sz val="11"/>
      <color rgb="FF3F3F3F"/>
      <name val="Aptos Narrow"/>
      <family val="2"/>
      <charset val="238"/>
      <scheme val="minor"/>
    </font>
    <font>
      <b/>
      <sz val="11"/>
      <color rgb="FFFA7D00"/>
      <name val="Aptos Narrow"/>
      <family val="2"/>
      <charset val="238"/>
      <scheme val="minor"/>
    </font>
    <font>
      <sz val="11"/>
      <color rgb="FFFA7D00"/>
      <name val="Aptos Narrow"/>
      <family val="2"/>
      <charset val="238"/>
      <scheme val="minor"/>
    </font>
    <font>
      <b/>
      <sz val="11"/>
      <color theme="0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i/>
      <sz val="11"/>
      <color rgb="FF7F7F7F"/>
      <name val="Aptos Narrow"/>
      <family val="2"/>
      <charset val="238"/>
      <scheme val="minor"/>
    </font>
    <font>
      <b/>
      <sz val="11"/>
      <color theme="1"/>
      <name val="Aptos Narrow"/>
      <family val="2"/>
      <charset val="238"/>
      <scheme val="minor"/>
    </font>
    <font>
      <sz val="11"/>
      <color theme="0"/>
      <name val="Aptos Narrow"/>
      <family val="2"/>
      <charset val="238"/>
      <scheme val="minor"/>
    </font>
    <font>
      <sz val="10"/>
      <color indexed="8"/>
      <name val="Arial CE"/>
    </font>
    <font>
      <sz val="10"/>
      <color indexed="8"/>
      <name val="Aptos Narrow"/>
      <family val="2"/>
      <scheme val="minor"/>
    </font>
    <font>
      <b/>
      <sz val="10"/>
      <color indexed="8"/>
      <name val="Aptos Narrow"/>
      <family val="2"/>
      <scheme val="minor"/>
    </font>
    <font>
      <sz val="10"/>
      <color indexed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</font>
    <font>
      <b/>
      <sz val="11"/>
      <color theme="0"/>
      <name val="Aptos Narrow"/>
      <family val="2"/>
    </font>
    <font>
      <b/>
      <sz val="18"/>
      <color theme="0"/>
      <name val="Aptos Narrow"/>
      <family val="2"/>
    </font>
    <font>
      <b/>
      <sz val="11"/>
      <color theme="1"/>
      <name val="Aptos Narrow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1F2"/>
        <bgColor indexed="64"/>
      </patternFill>
    </fill>
    <fill>
      <patternFill patternType="solid">
        <fgColor rgb="FFE9F7F7"/>
        <bgColor indexed="64"/>
      </patternFill>
    </fill>
    <fill>
      <patternFill patternType="solid">
        <fgColor rgb="FF5BA4E7"/>
        <bgColor indexed="64"/>
      </patternFill>
    </fill>
    <fill>
      <gradientFill degree="90">
        <stop position="0">
          <color rgb="FFE1EFFB"/>
        </stop>
        <stop position="0.5">
          <color rgb="FF2084DE"/>
        </stop>
        <stop position="1">
          <color rgb="FFE1EFFB"/>
        </stop>
      </gradient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Protection="0"/>
  </cellStyleXfs>
  <cellXfs count="43">
    <xf numFmtId="0" fontId="0" fillId="0" borderId="0" xfId="0"/>
    <xf numFmtId="0" fontId="18" fillId="0" borderId="0" xfId="42"/>
    <xf numFmtId="0" fontId="18" fillId="0" borderId="0" xfId="42" applyAlignment="1">
      <alignment vertical="center" wrapText="1"/>
    </xf>
    <xf numFmtId="164" fontId="19" fillId="0" borderId="0" xfId="42" applyNumberFormat="1" applyFont="1" applyBorder="1"/>
    <xf numFmtId="0" fontId="19" fillId="0" borderId="0" xfId="42" applyFont="1" applyBorder="1"/>
    <xf numFmtId="0" fontId="19" fillId="0" borderId="0" xfId="42" applyFont="1"/>
    <xf numFmtId="0" fontId="20" fillId="0" borderId="0" xfId="42" applyFont="1"/>
    <xf numFmtId="0" fontId="19" fillId="0" borderId="0" xfId="0" applyFont="1"/>
    <xf numFmtId="0" fontId="19" fillId="0" borderId="0" xfId="0" applyFont="1" applyAlignment="1">
      <alignment vertical="center" wrapText="1"/>
    </xf>
    <xf numFmtId="0" fontId="21" fillId="0" borderId="0" xfId="0" applyFont="1" applyAlignment="1">
      <alignment horizontal="left" wrapText="1"/>
    </xf>
    <xf numFmtId="0" fontId="19" fillId="0" borderId="0" xfId="42" applyFont="1" applyAlignment="1">
      <alignment vertical="center" wrapText="1"/>
    </xf>
    <xf numFmtId="0" fontId="20" fillId="0" borderId="0" xfId="42" applyFont="1" applyAlignment="1">
      <alignment horizontal="center" vertical="center" wrapText="1"/>
    </xf>
    <xf numFmtId="4" fontId="19" fillId="0" borderId="0" xfId="42" applyNumberFormat="1" applyFont="1" applyAlignment="1">
      <alignment horizontal="right" vertical="center" wrapText="1"/>
    </xf>
    <xf numFmtId="4" fontId="19" fillId="0" borderId="0" xfId="42" applyNumberFormat="1" applyFont="1" applyAlignment="1">
      <alignment vertical="center" wrapText="1"/>
    </xf>
    <xf numFmtId="14" fontId="19" fillId="0" borderId="0" xfId="0" applyNumberFormat="1" applyFont="1"/>
    <xf numFmtId="0" fontId="20" fillId="0" borderId="0" xfId="0" applyFont="1" applyAlignment="1">
      <alignment horizontal="center" vertical="center" wrapText="1"/>
    </xf>
    <xf numFmtId="14" fontId="19" fillId="0" borderId="0" xfId="0" applyNumberFormat="1" applyFont="1" applyAlignment="1">
      <alignment vertical="center" wrapText="1"/>
    </xf>
    <xf numFmtId="14" fontId="19" fillId="0" borderId="0" xfId="42" applyNumberFormat="1" applyFont="1" applyAlignment="1">
      <alignment horizontal="left" vertical="center" wrapText="1"/>
    </xf>
    <xf numFmtId="0" fontId="22" fillId="33" borderId="0" xfId="0" applyFont="1" applyFill="1"/>
    <xf numFmtId="0" fontId="23" fillId="33" borderId="0" xfId="0" applyFont="1" applyFill="1" applyAlignment="1">
      <alignment horizontal="center"/>
    </xf>
    <xf numFmtId="0" fontId="23" fillId="33" borderId="16" xfId="0" applyFont="1" applyFill="1" applyBorder="1" applyAlignment="1">
      <alignment horizontal="center"/>
    </xf>
    <xf numFmtId="0" fontId="22" fillId="33" borderId="0" xfId="0" applyFont="1" applyFill="1" applyAlignment="1">
      <alignment horizontal="right"/>
    </xf>
    <xf numFmtId="4" fontId="22" fillId="33" borderId="0" xfId="0" applyNumberFormat="1" applyFont="1" applyFill="1" applyAlignment="1">
      <alignment horizontal="right"/>
    </xf>
    <xf numFmtId="2" fontId="22" fillId="33" borderId="0" xfId="0" applyNumberFormat="1" applyFont="1" applyFill="1" applyAlignment="1">
      <alignment horizontal="right"/>
    </xf>
    <xf numFmtId="49" fontId="22" fillId="33" borderId="0" xfId="0" applyNumberFormat="1" applyFont="1" applyFill="1" applyAlignment="1">
      <alignment horizontal="right"/>
    </xf>
    <xf numFmtId="49" fontId="22" fillId="33" borderId="0" xfId="0" applyNumberFormat="1" applyFont="1" applyFill="1" applyAlignment="1">
      <alignment horizontal="left"/>
    </xf>
    <xf numFmtId="165" fontId="22" fillId="34" borderId="10" xfId="0" applyNumberFormat="1" applyFont="1" applyFill="1" applyBorder="1" applyProtection="1">
      <protection locked="0"/>
    </xf>
    <xf numFmtId="4" fontId="22" fillId="34" borderId="10" xfId="0" applyNumberFormat="1" applyFont="1" applyFill="1" applyBorder="1" applyProtection="1">
      <protection locked="0"/>
    </xf>
    <xf numFmtId="0" fontId="22" fillId="34" borderId="10" xfId="0" applyFont="1" applyFill="1" applyBorder="1" applyAlignment="1" applyProtection="1">
      <alignment horizontal="right"/>
      <protection locked="0"/>
    </xf>
    <xf numFmtId="0" fontId="26" fillId="33" borderId="0" xfId="0" applyFont="1" applyFill="1"/>
    <xf numFmtId="0" fontId="25" fillId="36" borderId="17" xfId="0" applyFont="1" applyFill="1" applyBorder="1" applyAlignment="1">
      <alignment horizontal="center"/>
    </xf>
    <xf numFmtId="0" fontId="25" fillId="36" borderId="19" xfId="0" applyFont="1" applyFill="1" applyBorder="1" applyAlignment="1">
      <alignment horizontal="center"/>
    </xf>
    <xf numFmtId="0" fontId="25" fillId="36" borderId="18" xfId="0" applyFont="1" applyFill="1" applyBorder="1" applyAlignment="1">
      <alignment horizontal="center"/>
    </xf>
    <xf numFmtId="0" fontId="22" fillId="34" borderId="11" xfId="0" applyFont="1" applyFill="1" applyBorder="1" applyAlignment="1" applyProtection="1">
      <alignment horizontal="left" vertical="center"/>
      <protection locked="0"/>
    </xf>
    <xf numFmtId="0" fontId="22" fillId="34" borderId="12" xfId="0" applyFont="1" applyFill="1" applyBorder="1" applyAlignment="1" applyProtection="1">
      <alignment horizontal="left" vertical="center"/>
      <protection locked="0"/>
    </xf>
    <xf numFmtId="0" fontId="24" fillId="35" borderId="13" xfId="0" applyFont="1" applyFill="1" applyBorder="1" applyAlignment="1">
      <alignment horizontal="center"/>
    </xf>
    <xf numFmtId="0" fontId="24" fillId="35" borderId="14" xfId="0" applyFont="1" applyFill="1" applyBorder="1" applyAlignment="1">
      <alignment horizontal="center"/>
    </xf>
    <xf numFmtId="0" fontId="24" fillId="35" borderId="15" xfId="0" applyFont="1" applyFill="1" applyBorder="1" applyAlignment="1">
      <alignment horizontal="center"/>
    </xf>
    <xf numFmtId="0" fontId="20" fillId="0" borderId="0" xfId="0" applyFont="1"/>
    <xf numFmtId="4" fontId="19" fillId="0" borderId="0" xfId="0" applyNumberFormat="1" applyFont="1"/>
    <xf numFmtId="168" fontId="22" fillId="34" borderId="10" xfId="0" applyNumberFormat="1" applyFont="1" applyFill="1" applyBorder="1" applyProtection="1">
      <protection locked="0"/>
    </xf>
    <xf numFmtId="1" fontId="22" fillId="34" borderId="10" xfId="0" applyNumberFormat="1" applyFont="1" applyFill="1" applyBorder="1" applyProtection="1">
      <protection locked="0"/>
    </xf>
    <xf numFmtId="1" fontId="22" fillId="33" borderId="0" xfId="0" applyNumberFormat="1" applyFont="1" applyFill="1" applyAlignment="1">
      <alignment horizontal="right"/>
    </xf>
  </cellXfs>
  <cellStyles count="43">
    <cellStyle name="20 % – Zvýraznění 1" xfId="19" builtinId="30" customBuiltin="1"/>
    <cellStyle name="20 % – Zvýraznění 2" xfId="23" builtinId="34" customBuiltin="1"/>
    <cellStyle name="20 % – Zvýraznění 3" xfId="27" builtinId="38" customBuiltin="1"/>
    <cellStyle name="20 % – Zvýraznění 4" xfId="31" builtinId="42" customBuiltin="1"/>
    <cellStyle name="20 % – Zvýraznění 5" xfId="35" builtinId="46" customBuiltin="1"/>
    <cellStyle name="20 % – Zvýraznění 6" xfId="39" builtinId="50" customBuiltin="1"/>
    <cellStyle name="40 % – Zvýraznění 1" xfId="20" builtinId="31" customBuiltin="1"/>
    <cellStyle name="40 % – Zvýraznění 2" xfId="24" builtinId="35" customBuiltin="1"/>
    <cellStyle name="40 % – Zvýraznění 3" xfId="28" builtinId="39" customBuiltin="1"/>
    <cellStyle name="40 % – Zvýraznění 4" xfId="32" builtinId="43" customBuiltin="1"/>
    <cellStyle name="40 % – Zvýraznění 5" xfId="36" builtinId="47" customBuiltin="1"/>
    <cellStyle name="40 % – Zvýraznění 6" xfId="40" builtinId="51" customBuiltin="1"/>
    <cellStyle name="60 % – Zvýraznění 1" xfId="21" builtinId="32" customBuiltin="1"/>
    <cellStyle name="60 % – Zvýraznění 2" xfId="25" builtinId="36" customBuiltin="1"/>
    <cellStyle name="60 % – Zvýraznění 3" xfId="29" builtinId="40" customBuiltin="1"/>
    <cellStyle name="60 % – Zvýraznění 4" xfId="33" builtinId="44" customBuiltin="1"/>
    <cellStyle name="60 % – Zvýraznění 5" xfId="37" builtinId="48" customBuiltin="1"/>
    <cellStyle name="60 % – Zvýraznění 6" xfId="41" builtinId="52" customBuiltin="1"/>
    <cellStyle name="Celkem" xfId="17" builtinId="25" customBuiltin="1"/>
    <cellStyle name="Kontrolní buň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ev" xfId="1" builtinId="15" customBuiltin="1"/>
    <cellStyle name="Neutrální" xfId="8" builtinId="28" customBuiltin="1"/>
    <cellStyle name="Normální" xfId="0" builtinId="0" customBuiltin="1"/>
    <cellStyle name="Normální 2" xfId="42" xr:uid="{6CE418D2-0F38-4C8F-B8E1-D523E7755A3C}"/>
    <cellStyle name="Poznámka" xfId="15" builtinId="10" customBuiltin="1"/>
    <cellStyle name="Propojená buňka" xfId="12" builtinId="24" customBuiltin="1"/>
    <cellStyle name="Správně" xfId="6" builtinId="26" customBuiltin="1"/>
    <cellStyle name="Špatně" xfId="7" builtinId="27" customBuiltin="1"/>
    <cellStyle name="Text upozornění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ětlující text" xfId="16" builtinId="53" customBuiltin="1"/>
    <cellStyle name="Zvýraznění 1" xfId="18" builtinId="29" customBuiltin="1"/>
    <cellStyle name="Zvýraznění 2" xfId="22" builtinId="33" customBuiltin="1"/>
    <cellStyle name="Zvýraznění 3" xfId="26" builtinId="37" customBuiltin="1"/>
    <cellStyle name="Zvýraznění 4" xfId="30" builtinId="41" customBuiltin="1"/>
    <cellStyle name="Zvýraznění 5" xfId="34" builtinId="45" customBuiltin="1"/>
    <cellStyle name="Zvýraznění 6" xfId="38" builtinId="49" customBuiltin="1"/>
  </cellStyles>
  <dxfs count="10"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theme="2" tint="-0.24994659260841701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4" formatCode="#,##0.00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4" formatCode="#,##0.00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4" formatCode="#,##0.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19" formatCode="dd/mm/yyyy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19" formatCode="dd/mm/yyyy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5BA4E7"/>
      <color rgb="FF2084DE"/>
      <color rgb="FFE1EFFB"/>
      <color rgb="FFE9F7F7"/>
      <color rgb="FFC0E6F5"/>
      <color rgb="FF29A3FF"/>
      <color rgb="FFD9E1F2"/>
      <color rgb="FF1F1FB7"/>
      <color rgb="FF23CF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1447800</xdr:colOff>
          <xdr:row>20</xdr:row>
          <xdr:rowOff>57150</xdr:rowOff>
        </xdr:from>
        <xdr:to>
          <xdr:col>8</xdr:col>
          <xdr:colOff>66675</xdr:colOff>
          <xdr:row>22</xdr:row>
          <xdr:rowOff>66675</xdr:rowOff>
        </xdr:to>
        <xdr:sp macro="" textlink="">
          <xdr:nvSpPr>
            <xdr:cNvPr id="148487" name="CommandButton1" hidden="1">
              <a:extLst>
                <a:ext uri="{63B3BB69-23CF-44E3-9099-C40C66FF867C}">
                  <a14:compatExt spid="_x0000_s148487"/>
                </a:ext>
                <a:ext uri="{FF2B5EF4-FFF2-40B4-BE49-F238E27FC236}">
                  <a16:creationId xmlns:a16="http://schemas.microsoft.com/office/drawing/2014/main" id="{00000000-0008-0000-0400-000007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948A3C-563C-429E-A864-29CB015230F7}" name="Tabulka2" displayName="Tabulka2" ref="A1:E17" totalsRowShown="0" headerRowDxfId="9" dataDxfId="8" headerRowCellStyle="Normální 2" dataCellStyle="Normální 2">
  <autoFilter ref="A1:E17" xr:uid="{53948A3C-563C-429E-A864-29CB015230F7}"/>
  <sortState xmlns:xlrd2="http://schemas.microsoft.com/office/spreadsheetml/2017/richdata2" ref="A2:E17">
    <sortCondition ref="A1:A17"/>
  </sortState>
  <tableColumns count="5">
    <tableColumn id="1" xr3:uid="{70B6F6BD-110E-4B98-9FF8-49C1C6FDCD85}" name="Datum" dataDxfId="7" dataCellStyle="Normální 2"/>
    <tableColumn id="6" xr3:uid="{1F94333E-B07C-4941-80B1-FFB5F3BD25A8}" name="Místo" dataDxfId="6" dataCellStyle="Normální 2"/>
    <tableColumn id="3" xr3:uid="{B414C652-83BC-41A2-90FE-84B534F07BEB}" name="Množství (l)" dataDxfId="5" dataCellStyle="Normální 2"/>
    <tableColumn id="4" xr3:uid="{D67B4652-FEF9-4A9C-B8EC-82FBEDD2ADED}" name="Cena za 1 l (Kč)" dataDxfId="4" dataCellStyle="Normální 2"/>
    <tableColumn id="5" xr3:uid="{C467BD30-B63E-4C61-89CF-23FAAEDCB342}" name="Celkem (Kč)" dataDxfId="3" dataCellStyle="Normální 2">
      <calculatedColumnFormula>C2*D2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64580-0581-4BEA-A317-00AC628EC66B}">
  <sheetPr codeName="List77">
    <tabColor rgb="FF5BA4E7"/>
  </sheetPr>
  <dimension ref="B1:H37"/>
  <sheetViews>
    <sheetView tabSelected="1" workbookViewId="0">
      <selection activeCell="C34" sqref="C34"/>
    </sheetView>
  </sheetViews>
  <sheetFormatPr defaultColWidth="8.85546875" defaultRowHeight="15" x14ac:dyDescent="0.25"/>
  <cols>
    <col min="1" max="1" width="8.85546875" style="18"/>
    <col min="2" max="2" width="25.28515625" style="18" customWidth="1"/>
    <col min="3" max="3" width="12.5703125" style="18" customWidth="1"/>
    <col min="4" max="4" width="14.42578125" style="18" customWidth="1"/>
    <col min="5" max="5" width="6.7109375" style="18" customWidth="1"/>
    <col min="6" max="6" width="39.140625" style="18" customWidth="1"/>
    <col min="7" max="7" width="3" style="18" customWidth="1"/>
    <col min="8" max="8" width="9.140625" style="18" bestFit="1" customWidth="1"/>
    <col min="9" max="16384" width="8.85546875" style="18"/>
  </cols>
  <sheetData>
    <row r="1" spans="2:8" ht="15.75" thickBot="1" x14ac:dyDescent="0.3"/>
    <row r="2" spans="2:8" ht="24.75" thickBot="1" x14ac:dyDescent="0.45">
      <c r="B2" s="30" t="s">
        <v>58</v>
      </c>
      <c r="C2" s="31"/>
      <c r="D2" s="31"/>
      <c r="E2" s="31"/>
      <c r="F2" s="31"/>
      <c r="G2" s="31"/>
      <c r="H2" s="32"/>
    </row>
    <row r="4" spans="2:8" ht="15.75" thickBot="1" x14ac:dyDescent="0.3"/>
    <row r="5" spans="2:8" ht="15.75" thickBot="1" x14ac:dyDescent="0.3">
      <c r="B5" s="35" t="s">
        <v>59</v>
      </c>
      <c r="C5" s="36"/>
      <c r="D5" s="37"/>
      <c r="F5" s="35" t="s">
        <v>60</v>
      </c>
      <c r="G5" s="36"/>
      <c r="H5" s="37"/>
    </row>
    <row r="6" spans="2:8" ht="4.9000000000000004" customHeight="1" x14ac:dyDescent="0.25">
      <c r="B6" s="19"/>
      <c r="C6" s="20"/>
      <c r="D6" s="20"/>
    </row>
    <row r="7" spans="2:8" ht="19.899999999999999" customHeight="1" x14ac:dyDescent="0.25">
      <c r="B7" s="29" t="s">
        <v>0</v>
      </c>
      <c r="C7" s="33" t="s">
        <v>5</v>
      </c>
      <c r="D7" s="34"/>
      <c r="F7" s="29" t="s">
        <v>54</v>
      </c>
      <c r="H7" s="26">
        <v>0.29166666666666669</v>
      </c>
    </row>
    <row r="8" spans="2:8" ht="4.9000000000000004" customHeight="1" x14ac:dyDescent="0.25">
      <c r="B8" s="29"/>
      <c r="C8" s="21"/>
      <c r="F8" s="29"/>
      <c r="H8" s="21"/>
    </row>
    <row r="9" spans="2:8" ht="19.899999999999999" customHeight="1" x14ac:dyDescent="0.25">
      <c r="B9" s="29" t="s">
        <v>2</v>
      </c>
      <c r="C9" s="27">
        <v>15</v>
      </c>
      <c r="F9" s="29" t="s">
        <v>55</v>
      </c>
      <c r="H9" s="40">
        <v>0.95833333333333337</v>
      </c>
    </row>
    <row r="10" spans="2:8" ht="4.9000000000000004" customHeight="1" x14ac:dyDescent="0.25">
      <c r="B10" s="29"/>
      <c r="C10" s="22"/>
      <c r="F10" s="29"/>
      <c r="H10" s="23"/>
    </row>
    <row r="11" spans="2:8" ht="19.899999999999999" customHeight="1" x14ac:dyDescent="0.25">
      <c r="B11" s="29" t="s">
        <v>61</v>
      </c>
      <c r="C11" s="27">
        <v>80</v>
      </c>
      <c r="F11" s="29" t="s">
        <v>57</v>
      </c>
      <c r="H11" s="41">
        <v>8</v>
      </c>
    </row>
    <row r="12" spans="2:8" ht="4.9000000000000004" customHeight="1" x14ac:dyDescent="0.25">
      <c r="B12" s="29"/>
      <c r="F12" s="29"/>
      <c r="H12" s="42"/>
    </row>
    <row r="13" spans="2:8" ht="19.899999999999999" customHeight="1" x14ac:dyDescent="0.25">
      <c r="B13" s="29" t="s">
        <v>3</v>
      </c>
      <c r="C13" s="27">
        <v>43198</v>
      </c>
      <c r="F13" s="29" t="s">
        <v>56</v>
      </c>
      <c r="H13" s="41">
        <v>3</v>
      </c>
    </row>
    <row r="14" spans="2:8" ht="4.9000000000000004" customHeight="1" x14ac:dyDescent="0.25">
      <c r="B14" s="29"/>
      <c r="C14" s="22"/>
      <c r="F14" s="29"/>
      <c r="H14" s="42"/>
    </row>
    <row r="15" spans="2:8" ht="19.899999999999999" customHeight="1" x14ac:dyDescent="0.25">
      <c r="B15" s="29" t="s">
        <v>4</v>
      </c>
      <c r="C15" s="28" t="s">
        <v>7</v>
      </c>
      <c r="F15" s="29" t="s">
        <v>62</v>
      </c>
      <c r="H15" s="41">
        <v>35</v>
      </c>
    </row>
    <row r="16" spans="2:8" ht="4.9000000000000004" customHeight="1" x14ac:dyDescent="0.25">
      <c r="B16" s="29"/>
      <c r="C16" s="24"/>
      <c r="F16" s="29"/>
      <c r="H16" s="42"/>
    </row>
    <row r="17" spans="2:8" ht="19.899999999999999" customHeight="1" x14ac:dyDescent="0.25">
      <c r="B17" s="29" t="s">
        <v>26</v>
      </c>
      <c r="C17" s="28" t="s">
        <v>27</v>
      </c>
      <c r="F17" s="29" t="s">
        <v>63</v>
      </c>
      <c r="H17" s="41">
        <v>70</v>
      </c>
    </row>
    <row r="18" spans="2:8" ht="4.9000000000000004" customHeight="1" x14ac:dyDescent="0.25">
      <c r="B18" s="29"/>
      <c r="C18" s="24"/>
      <c r="D18" s="24"/>
    </row>
    <row r="19" spans="2:8" ht="19.899999999999999" customHeight="1" x14ac:dyDescent="0.25">
      <c r="B19" s="29" t="s">
        <v>24</v>
      </c>
      <c r="C19" s="33" t="s">
        <v>25</v>
      </c>
      <c r="D19" s="34"/>
    </row>
    <row r="20" spans="2:8" ht="4.9000000000000004" customHeight="1" x14ac:dyDescent="0.25">
      <c r="B20" s="29"/>
      <c r="C20" s="25"/>
      <c r="D20" s="25"/>
    </row>
    <row r="21" spans="2:8" ht="19.899999999999999" customHeight="1" x14ac:dyDescent="0.25">
      <c r="B21" s="29" t="s">
        <v>1</v>
      </c>
      <c r="C21" s="33" t="s">
        <v>6</v>
      </c>
      <c r="D21" s="34"/>
    </row>
    <row r="22" spans="2:8" ht="4.9000000000000004" customHeight="1" x14ac:dyDescent="0.25">
      <c r="C22" s="24"/>
      <c r="D22" s="24"/>
    </row>
    <row r="25" spans="2:8" ht="4.9000000000000004" customHeight="1" x14ac:dyDescent="0.25"/>
    <row r="26" spans="2:8" ht="19.899999999999999" customHeight="1" x14ac:dyDescent="0.25"/>
    <row r="27" spans="2:8" ht="4.9000000000000004" customHeight="1" x14ac:dyDescent="0.25"/>
    <row r="28" spans="2:8" ht="19.899999999999999" customHeight="1" x14ac:dyDescent="0.25"/>
    <row r="29" spans="2:8" ht="4.9000000000000004" customHeight="1" x14ac:dyDescent="0.25"/>
    <row r="30" spans="2:8" ht="19.899999999999999" customHeight="1" x14ac:dyDescent="0.25"/>
    <row r="31" spans="2:8" ht="4.9000000000000004" customHeight="1" x14ac:dyDescent="0.25"/>
    <row r="32" spans="2:8" ht="19.899999999999999" customHeight="1" x14ac:dyDescent="0.25"/>
    <row r="33" spans="3:4" ht="4.9000000000000004" customHeight="1" x14ac:dyDescent="0.25"/>
    <row r="34" spans="3:4" ht="19.899999999999999" customHeight="1" x14ac:dyDescent="0.25"/>
    <row r="35" spans="3:4" ht="4.9000000000000004" customHeight="1" x14ac:dyDescent="0.25"/>
    <row r="36" spans="3:4" ht="19.899999999999999" customHeight="1" x14ac:dyDescent="0.25"/>
    <row r="37" spans="3:4" x14ac:dyDescent="0.25">
      <c r="C37" s="24"/>
      <c r="D37" s="24"/>
    </row>
  </sheetData>
  <mergeCells count="6">
    <mergeCell ref="B2:H2"/>
    <mergeCell ref="C19:D19"/>
    <mergeCell ref="C21:D21"/>
    <mergeCell ref="F5:H5"/>
    <mergeCell ref="B5:D5"/>
    <mergeCell ref="C7:D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148487" r:id="rId3" name="CommandButton1">
          <controlPr defaultSize="0" autoFill="0" autoLine="0" r:id="rId4">
            <anchor moveWithCells="1">
              <from>
                <xdr:col>5</xdr:col>
                <xdr:colOff>1447800</xdr:colOff>
                <xdr:row>20</xdr:row>
                <xdr:rowOff>57150</xdr:rowOff>
              </from>
              <to>
                <xdr:col>8</xdr:col>
                <xdr:colOff>66675</xdr:colOff>
                <xdr:row>22</xdr:row>
                <xdr:rowOff>66675</xdr:rowOff>
              </to>
            </anchor>
          </controlPr>
        </control>
      </mc:Choice>
      <mc:Fallback>
        <control shapeId="148487" r:id="rId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C5E214-51D7-41AC-B9A9-99BDC300A70C}">
          <x14:formula1>
            <xm:f>Lokality!$A$2:$A$9</xm:f>
          </x14:formula1>
          <xm:sqref>C21:D22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C5BDF-F322-4218-90DB-A2CAD478B3FE}">
  <sheetPr codeName="List1">
    <tabColor theme="3" tint="9.9978637043366805E-2"/>
  </sheetPr>
  <dimension ref="A1:G2"/>
  <sheetViews>
    <sheetView workbookViewId="0">
      <selection activeCell="G2" sqref="G2"/>
    </sheetView>
  </sheetViews>
  <sheetFormatPr defaultColWidth="8.85546875" defaultRowHeight="15" customHeight="1" x14ac:dyDescent="0.25"/>
  <cols>
    <col min="1" max="1" width="6.7109375" style="7" bestFit="1" customWidth="1"/>
    <col min="2" max="2" width="15.85546875" style="7" bestFit="1" customWidth="1"/>
    <col min="3" max="3" width="21.5703125" style="7" bestFit="1" customWidth="1"/>
    <col min="4" max="4" width="7.85546875" style="7" bestFit="1" customWidth="1"/>
    <col min="5" max="5" width="9.42578125" style="7" bestFit="1" customWidth="1"/>
    <col min="6" max="6" width="18.5703125" style="7" bestFit="1" customWidth="1"/>
    <col min="7" max="7" width="15.5703125" style="7" bestFit="1" customWidth="1"/>
    <col min="8" max="16384" width="8.85546875" style="7"/>
  </cols>
  <sheetData>
    <row r="1" spans="1:7" ht="15" customHeight="1" x14ac:dyDescent="0.25">
      <c r="A1" s="38" t="s">
        <v>0</v>
      </c>
      <c r="B1" s="38" t="s">
        <v>2</v>
      </c>
      <c r="C1" s="38" t="s">
        <v>3</v>
      </c>
      <c r="D1" s="38" t="s">
        <v>4</v>
      </c>
      <c r="E1" s="38" t="s">
        <v>26</v>
      </c>
      <c r="F1" s="38" t="s">
        <v>24</v>
      </c>
      <c r="G1" s="38" t="s">
        <v>1</v>
      </c>
    </row>
    <row r="2" spans="1:7" ht="15" customHeight="1" x14ac:dyDescent="0.25">
      <c r="A2" s="7" t="str">
        <f>'Konfigurace a start'!C7</f>
        <v>Audi A5</v>
      </c>
      <c r="B2" s="39">
        <f>'Konfigurace a start'!C9</f>
        <v>15</v>
      </c>
      <c r="C2" s="39">
        <f>'Konfigurace a start'!C13</f>
        <v>43198</v>
      </c>
      <c r="D2" s="7" t="str">
        <f>'Konfigurace a start'!C15</f>
        <v>3AT5842</v>
      </c>
      <c r="E2" s="7" t="str">
        <f>'Konfigurace a start'!C17</f>
        <v>osobní</v>
      </c>
      <c r="F2" s="7" t="str">
        <f>'Konfigurace a start'!C19</f>
        <v>Petr Novotný</v>
      </c>
      <c r="G2" s="5" t="str">
        <f>'Konfigurace a start'!C21</f>
        <v>Praha 6 - Patočkova</v>
      </c>
    </row>
  </sheetData>
  <pageMargins left="0.7" right="0.7" top="0.78740157499999996" bottom="0.78740157499999996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2C-038F-4AAD-8D7D-86B5E7BF2565}">
  <sheetPr codeName="List4">
    <tabColor rgb="FFC0E6F5"/>
  </sheetPr>
  <dimension ref="A1:E54"/>
  <sheetViews>
    <sheetView showGridLines="0" showRowColHeaders="0" zoomScaleNormal="100" workbookViewId="0">
      <selection activeCell="A2" sqref="A2"/>
    </sheetView>
  </sheetViews>
  <sheetFormatPr defaultColWidth="10" defaultRowHeight="13.5" x14ac:dyDescent="0.25"/>
  <cols>
    <col min="1" max="1" width="10.7109375" style="5" bestFit="1" customWidth="1"/>
    <col min="2" max="2" width="21.42578125" style="5" bestFit="1" customWidth="1"/>
    <col min="3" max="3" width="14.28515625" style="5" bestFit="1" customWidth="1"/>
    <col min="4" max="4" width="17.28515625" style="5" bestFit="1" customWidth="1"/>
    <col min="5" max="5" width="15.140625" style="5" bestFit="1" customWidth="1"/>
    <col min="6" max="16384" width="10" style="5"/>
  </cols>
  <sheetData>
    <row r="1" spans="1:5" x14ac:dyDescent="0.25">
      <c r="A1" s="11" t="s">
        <v>19</v>
      </c>
      <c r="B1" s="11" t="s">
        <v>20</v>
      </c>
      <c r="C1" s="11" t="s">
        <v>21</v>
      </c>
      <c r="D1" s="11" t="s">
        <v>22</v>
      </c>
      <c r="E1" s="11" t="s">
        <v>23</v>
      </c>
    </row>
    <row r="2" spans="1:5" x14ac:dyDescent="0.25">
      <c r="A2" s="17" t="s">
        <v>40</v>
      </c>
      <c r="B2" s="5" t="s">
        <v>51</v>
      </c>
      <c r="C2" s="12">
        <v>53.51</v>
      </c>
      <c r="D2" s="13">
        <v>42.31</v>
      </c>
      <c r="E2" s="13">
        <f t="shared" ref="E2:E17" si="0">C2*D2</f>
        <v>2264.0081</v>
      </c>
    </row>
    <row r="3" spans="1:5" x14ac:dyDescent="0.25">
      <c r="A3" s="17" t="s">
        <v>35</v>
      </c>
      <c r="B3" s="5" t="s">
        <v>11</v>
      </c>
      <c r="C3" s="12">
        <v>39.29</v>
      </c>
      <c r="D3" s="13">
        <v>38.9</v>
      </c>
      <c r="E3" s="13">
        <f>C3*D3</f>
        <v>1528.3809999999999</v>
      </c>
    </row>
    <row r="4" spans="1:5" x14ac:dyDescent="0.25">
      <c r="A4" s="17" t="s">
        <v>41</v>
      </c>
      <c r="B4" s="5" t="s">
        <v>13</v>
      </c>
      <c r="C4" s="12">
        <v>56.03</v>
      </c>
      <c r="D4" s="13">
        <v>42.43</v>
      </c>
      <c r="E4" s="13">
        <f t="shared" si="0"/>
        <v>2377.3528999999999</v>
      </c>
    </row>
    <row r="5" spans="1:5" x14ac:dyDescent="0.25">
      <c r="A5" s="17" t="s">
        <v>42</v>
      </c>
      <c r="B5" s="5" t="s">
        <v>14</v>
      </c>
      <c r="C5" s="12">
        <v>40.49</v>
      </c>
      <c r="D5" s="13">
        <v>42.5</v>
      </c>
      <c r="E5" s="13">
        <f t="shared" si="0"/>
        <v>1720.825</v>
      </c>
    </row>
    <row r="6" spans="1:5" x14ac:dyDescent="0.25">
      <c r="A6" s="17" t="s">
        <v>36</v>
      </c>
      <c r="B6" s="5" t="s">
        <v>11</v>
      </c>
      <c r="C6" s="12">
        <v>22.91</v>
      </c>
      <c r="D6" s="13">
        <v>38.9</v>
      </c>
      <c r="E6" s="13">
        <f t="shared" si="0"/>
        <v>891.19899999999996</v>
      </c>
    </row>
    <row r="7" spans="1:5" x14ac:dyDescent="0.25">
      <c r="A7" s="17" t="s">
        <v>37</v>
      </c>
      <c r="B7" s="5" t="s">
        <v>12</v>
      </c>
      <c r="C7" s="12">
        <v>50.65</v>
      </c>
      <c r="D7" s="13">
        <v>38.9</v>
      </c>
      <c r="E7" s="13">
        <f t="shared" si="0"/>
        <v>1970.2849999999999</v>
      </c>
    </row>
    <row r="8" spans="1:5" x14ac:dyDescent="0.25">
      <c r="A8" s="17" t="s">
        <v>43</v>
      </c>
      <c r="B8" s="5" t="s">
        <v>14</v>
      </c>
      <c r="C8" s="12">
        <v>60</v>
      </c>
      <c r="D8" s="13">
        <v>42.5</v>
      </c>
      <c r="E8" s="13">
        <f t="shared" si="0"/>
        <v>2550</v>
      </c>
    </row>
    <row r="9" spans="1:5" x14ac:dyDescent="0.25">
      <c r="A9" s="17" t="s">
        <v>44</v>
      </c>
      <c r="B9" s="5" t="s">
        <v>15</v>
      </c>
      <c r="C9" s="12">
        <v>51.14</v>
      </c>
      <c r="D9" s="13">
        <v>41.52</v>
      </c>
      <c r="E9" s="13">
        <f t="shared" si="0"/>
        <v>2123.3328000000001</v>
      </c>
    </row>
    <row r="10" spans="1:5" x14ac:dyDescent="0.25">
      <c r="A10" s="17" t="s">
        <v>45</v>
      </c>
      <c r="B10" s="5" t="s">
        <v>16</v>
      </c>
      <c r="C10" s="12">
        <v>52.9</v>
      </c>
      <c r="D10" s="13">
        <v>40.9</v>
      </c>
      <c r="E10" s="13">
        <f t="shared" si="0"/>
        <v>2163.6099999999997</v>
      </c>
    </row>
    <row r="11" spans="1:5" x14ac:dyDescent="0.25">
      <c r="A11" s="17" t="s">
        <v>46</v>
      </c>
      <c r="B11" s="5" t="s">
        <v>17</v>
      </c>
      <c r="C11" s="12">
        <v>49.53</v>
      </c>
      <c r="D11" s="13">
        <v>41.5</v>
      </c>
      <c r="E11" s="13">
        <f t="shared" si="0"/>
        <v>2055.4949999999999</v>
      </c>
    </row>
    <row r="12" spans="1:5" x14ac:dyDescent="0.25">
      <c r="A12" s="17" t="s">
        <v>38</v>
      </c>
      <c r="B12" s="5" t="s">
        <v>52</v>
      </c>
      <c r="C12" s="12">
        <v>34.159999999999997</v>
      </c>
      <c r="D12" s="13">
        <v>38.9</v>
      </c>
      <c r="E12" s="13">
        <f t="shared" si="0"/>
        <v>1328.8239999999998</v>
      </c>
    </row>
    <row r="13" spans="1:5" x14ac:dyDescent="0.25">
      <c r="A13" s="17" t="s">
        <v>47</v>
      </c>
      <c r="B13" s="5" t="s">
        <v>53</v>
      </c>
      <c r="C13" s="12">
        <v>52.45</v>
      </c>
      <c r="D13" s="13">
        <v>41.7</v>
      </c>
      <c r="E13" s="13">
        <f t="shared" si="0"/>
        <v>2187.1650000000004</v>
      </c>
    </row>
    <row r="14" spans="1:5" x14ac:dyDescent="0.25">
      <c r="A14" s="17" t="s">
        <v>48</v>
      </c>
      <c r="B14" s="5" t="s">
        <v>14</v>
      </c>
      <c r="C14" s="12">
        <v>56.85</v>
      </c>
      <c r="D14" s="13">
        <v>42.5</v>
      </c>
      <c r="E14" s="13">
        <f t="shared" si="0"/>
        <v>2416.125</v>
      </c>
    </row>
    <row r="15" spans="1:5" x14ac:dyDescent="0.25">
      <c r="A15" s="17" t="s">
        <v>39</v>
      </c>
      <c r="B15" s="5" t="s">
        <v>14</v>
      </c>
      <c r="C15" s="12">
        <v>50.3</v>
      </c>
      <c r="D15" s="13">
        <v>38.9</v>
      </c>
      <c r="E15" s="13">
        <f t="shared" si="0"/>
        <v>1956.6699999999998</v>
      </c>
    </row>
    <row r="16" spans="1:5" x14ac:dyDescent="0.25">
      <c r="A16" s="17" t="s">
        <v>49</v>
      </c>
      <c r="B16" s="5" t="s">
        <v>14</v>
      </c>
      <c r="C16" s="12">
        <v>40.21</v>
      </c>
      <c r="D16" s="13">
        <v>42.5</v>
      </c>
      <c r="E16" s="13">
        <f t="shared" si="0"/>
        <v>1708.925</v>
      </c>
    </row>
    <row r="17" spans="1:5" x14ac:dyDescent="0.25">
      <c r="A17" s="17" t="s">
        <v>50</v>
      </c>
      <c r="B17" s="5" t="s">
        <v>16</v>
      </c>
      <c r="C17" s="12">
        <v>51.41</v>
      </c>
      <c r="D17" s="13">
        <v>41.22</v>
      </c>
      <c r="E17" s="13">
        <f t="shared" si="0"/>
        <v>2119.1201999999998</v>
      </c>
    </row>
    <row r="18" spans="1:5" x14ac:dyDescent="0.25">
      <c r="A18" s="14"/>
      <c r="B18" s="14"/>
      <c r="C18" s="7"/>
    </row>
    <row r="19" spans="1:5" x14ac:dyDescent="0.25">
      <c r="A19" s="14"/>
      <c r="B19" s="14"/>
      <c r="C19" s="7"/>
    </row>
    <row r="20" spans="1:5" x14ac:dyDescent="0.25">
      <c r="A20" s="14"/>
      <c r="B20" s="14"/>
      <c r="C20" s="7"/>
    </row>
    <row r="21" spans="1:5" x14ac:dyDescent="0.25">
      <c r="A21" s="14"/>
      <c r="B21" s="14"/>
      <c r="C21" s="7"/>
    </row>
    <row r="22" spans="1:5" x14ac:dyDescent="0.25">
      <c r="A22" s="14"/>
      <c r="B22" s="14"/>
      <c r="C22" s="7"/>
    </row>
    <row r="23" spans="1:5" x14ac:dyDescent="0.25">
      <c r="A23" s="14"/>
      <c r="B23" s="14"/>
      <c r="C23" s="7"/>
    </row>
    <row r="24" spans="1:5" x14ac:dyDescent="0.25">
      <c r="A24" s="14"/>
      <c r="B24" s="14"/>
      <c r="C24" s="7"/>
    </row>
    <row r="26" spans="1:5" x14ac:dyDescent="0.25">
      <c r="A26" s="15"/>
      <c r="B26" s="15"/>
      <c r="C26" s="15"/>
      <c r="D26" s="15"/>
      <c r="E26" s="15"/>
    </row>
    <row r="27" spans="1:5" x14ac:dyDescent="0.25">
      <c r="A27" s="16"/>
      <c r="B27" s="16"/>
      <c r="C27" s="8"/>
      <c r="D27" s="8"/>
      <c r="E27" s="8"/>
    </row>
    <row r="28" spans="1:5" x14ac:dyDescent="0.25">
      <c r="A28" s="16"/>
      <c r="B28" s="16"/>
      <c r="C28" s="8"/>
      <c r="D28" s="8"/>
      <c r="E28" s="8"/>
    </row>
    <row r="29" spans="1:5" x14ac:dyDescent="0.25">
      <c r="A29" s="16"/>
      <c r="B29" s="16"/>
      <c r="C29" s="8"/>
      <c r="D29" s="8"/>
      <c r="E29" s="8"/>
    </row>
    <row r="30" spans="1:5" x14ac:dyDescent="0.25">
      <c r="A30" s="16"/>
      <c r="B30" s="16"/>
      <c r="C30" s="8"/>
      <c r="D30" s="8"/>
      <c r="E30" s="8"/>
    </row>
    <row r="31" spans="1:5" x14ac:dyDescent="0.25">
      <c r="A31" s="16"/>
      <c r="B31" s="16"/>
      <c r="C31" s="8"/>
      <c r="D31" s="8"/>
      <c r="E31" s="8"/>
    </row>
    <row r="32" spans="1:5" x14ac:dyDescent="0.25">
      <c r="A32" s="16"/>
      <c r="B32" s="16"/>
      <c r="C32" s="8"/>
      <c r="D32" s="8"/>
      <c r="E32" s="8"/>
    </row>
    <row r="33" spans="1:5" x14ac:dyDescent="0.25">
      <c r="A33" s="16"/>
      <c r="B33" s="16"/>
      <c r="C33" s="8"/>
      <c r="D33" s="8"/>
      <c r="E33" s="8"/>
    </row>
    <row r="34" spans="1:5" x14ac:dyDescent="0.25">
      <c r="A34" s="16"/>
      <c r="B34" s="16"/>
      <c r="C34" s="8"/>
      <c r="D34" s="8"/>
      <c r="E34" s="8"/>
    </row>
    <row r="35" spans="1:5" x14ac:dyDescent="0.25">
      <c r="A35" s="16"/>
      <c r="B35" s="16"/>
      <c r="C35" s="8"/>
      <c r="D35" s="8"/>
      <c r="E35" s="8"/>
    </row>
    <row r="36" spans="1:5" x14ac:dyDescent="0.25">
      <c r="A36" s="16"/>
      <c r="B36" s="16"/>
      <c r="C36" s="8"/>
      <c r="D36" s="8"/>
      <c r="E36" s="8"/>
    </row>
    <row r="37" spans="1:5" x14ac:dyDescent="0.25">
      <c r="A37" s="16"/>
      <c r="B37" s="16"/>
      <c r="C37" s="8"/>
      <c r="D37" s="8"/>
      <c r="E37" s="8"/>
    </row>
    <row r="38" spans="1:5" x14ac:dyDescent="0.25">
      <c r="A38" s="16"/>
      <c r="B38" s="16"/>
      <c r="C38" s="8"/>
      <c r="D38" s="8"/>
      <c r="E38" s="8"/>
    </row>
    <row r="39" spans="1:5" x14ac:dyDescent="0.25">
      <c r="A39" s="16"/>
      <c r="B39" s="16"/>
      <c r="C39" s="8"/>
      <c r="D39" s="8"/>
      <c r="E39" s="8"/>
    </row>
    <row r="40" spans="1:5" x14ac:dyDescent="0.25">
      <c r="A40" s="16"/>
      <c r="B40" s="16"/>
      <c r="C40" s="8"/>
      <c r="D40" s="8"/>
      <c r="E40" s="8"/>
    </row>
    <row r="41" spans="1:5" x14ac:dyDescent="0.25">
      <c r="A41" s="16"/>
      <c r="B41" s="16"/>
      <c r="C41" s="8"/>
      <c r="D41" s="8"/>
      <c r="E41" s="8"/>
    </row>
    <row r="42" spans="1:5" x14ac:dyDescent="0.25">
      <c r="A42" s="16"/>
      <c r="B42" s="16"/>
      <c r="C42" s="8"/>
      <c r="D42" s="8"/>
      <c r="E42" s="8"/>
    </row>
    <row r="48" spans="1:5" x14ac:dyDescent="0.25">
      <c r="C48" s="7"/>
    </row>
    <row r="49" spans="3:3" x14ac:dyDescent="0.25">
      <c r="C49" s="7"/>
    </row>
    <row r="50" spans="3:3" x14ac:dyDescent="0.25">
      <c r="C50" s="7"/>
    </row>
    <row r="51" spans="3:3" x14ac:dyDescent="0.25">
      <c r="C51" s="7"/>
    </row>
    <row r="52" spans="3:3" x14ac:dyDescent="0.25">
      <c r="C52" s="7"/>
    </row>
    <row r="53" spans="3:3" x14ac:dyDescent="0.25">
      <c r="C53" s="7"/>
    </row>
    <row r="54" spans="3:3" x14ac:dyDescent="0.25">
      <c r="C54" s="7"/>
    </row>
  </sheetData>
  <pageMargins left="0.23622047244094491" right="0.23622047244094491" top="0.74803149606299213" bottom="0.74803149606299213" header="0.31496062992125984" footer="0.31496062992125984"/>
  <pageSetup paperSize="9" pageOrder="overThenDown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29F0FB3-6F0B-4B4D-8147-02EB1186CE1C}">
          <x14:formula1>
            <xm:f>'Čerpací stanice'!$A$2:$A$11</xm:f>
          </x14:formula1>
          <xm:sqref>I20:I1048576 B2:B1048576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EE94D-B475-4DF0-A863-4727B4E97B6E}">
  <sheetPr codeName="List2">
    <tabColor theme="9" tint="0.59999389629810485"/>
  </sheetPr>
  <dimension ref="A1:B33"/>
  <sheetViews>
    <sheetView workbookViewId="0">
      <selection activeCell="H33" sqref="H33"/>
    </sheetView>
  </sheetViews>
  <sheetFormatPr defaultColWidth="9.140625" defaultRowHeight="12.75" x14ac:dyDescent="0.2"/>
  <cols>
    <col min="1" max="2" width="26.5703125" style="1" bestFit="1" customWidth="1"/>
    <col min="3" max="16384" width="9.140625" style="1"/>
  </cols>
  <sheetData>
    <row r="1" spans="1:2" ht="13.5" x14ac:dyDescent="0.25">
      <c r="A1" s="6" t="s">
        <v>8</v>
      </c>
      <c r="B1" s="6" t="s">
        <v>9</v>
      </c>
    </row>
    <row r="2" spans="1:2" ht="13.5" x14ac:dyDescent="0.25">
      <c r="A2" s="10" t="s">
        <v>53</v>
      </c>
      <c r="B2" s="5" t="s">
        <v>31</v>
      </c>
    </row>
    <row r="3" spans="1:2" ht="13.5" x14ac:dyDescent="0.25">
      <c r="A3" s="10" t="s">
        <v>17</v>
      </c>
      <c r="B3" s="5" t="s">
        <v>29</v>
      </c>
    </row>
    <row r="4" spans="1:2" ht="13.5" x14ac:dyDescent="0.25">
      <c r="A4" s="10" t="s">
        <v>12</v>
      </c>
      <c r="B4" s="5" t="s">
        <v>29</v>
      </c>
    </row>
    <row r="5" spans="1:2" ht="13.5" x14ac:dyDescent="0.2">
      <c r="A5" s="10" t="s">
        <v>52</v>
      </c>
      <c r="B5" s="8" t="s">
        <v>32</v>
      </c>
    </row>
    <row r="6" spans="1:2" ht="13.5" x14ac:dyDescent="0.2">
      <c r="A6" s="10" t="s">
        <v>11</v>
      </c>
      <c r="B6" s="8" t="s">
        <v>32</v>
      </c>
    </row>
    <row r="7" spans="1:2" ht="13.5" x14ac:dyDescent="0.25">
      <c r="A7" s="10" t="s">
        <v>16</v>
      </c>
      <c r="B7" s="9" t="s">
        <v>33</v>
      </c>
    </row>
    <row r="8" spans="1:2" ht="13.5" x14ac:dyDescent="0.25">
      <c r="A8" s="5" t="s">
        <v>14</v>
      </c>
      <c r="B8" s="8" t="s">
        <v>6</v>
      </c>
    </row>
    <row r="9" spans="1:2" ht="13.5" x14ac:dyDescent="0.2">
      <c r="A9" s="10" t="s">
        <v>15</v>
      </c>
      <c r="B9" s="8" t="s">
        <v>6</v>
      </c>
    </row>
    <row r="10" spans="1:2" ht="13.5" x14ac:dyDescent="0.2">
      <c r="A10" s="10" t="s">
        <v>51</v>
      </c>
      <c r="B10" s="8" t="s">
        <v>34</v>
      </c>
    </row>
    <row r="11" spans="1:2" ht="13.5" x14ac:dyDescent="0.2">
      <c r="A11" s="10" t="s">
        <v>13</v>
      </c>
      <c r="B11" s="8" t="s">
        <v>32</v>
      </c>
    </row>
    <row r="12" spans="1:2" x14ac:dyDescent="0.2">
      <c r="A12" s="2"/>
    </row>
    <row r="13" spans="1:2" x14ac:dyDescent="0.2">
      <c r="A13" s="2"/>
    </row>
    <row r="14" spans="1:2" x14ac:dyDescent="0.2">
      <c r="A14" s="2"/>
    </row>
    <row r="15" spans="1:2" x14ac:dyDescent="0.2">
      <c r="A15" s="2"/>
      <c r="B15" s="2"/>
    </row>
    <row r="16" spans="1:2" x14ac:dyDescent="0.2">
      <c r="A16" s="2"/>
      <c r="B16" s="2"/>
    </row>
    <row r="17" spans="1:2" x14ac:dyDescent="0.2">
      <c r="B17" s="2"/>
    </row>
    <row r="18" spans="1:2" x14ac:dyDescent="0.2">
      <c r="A18" s="2"/>
      <c r="B18" s="2"/>
    </row>
    <row r="19" spans="1:2" x14ac:dyDescent="0.2">
      <c r="A19" s="2"/>
    </row>
    <row r="20" spans="1:2" x14ac:dyDescent="0.2">
      <c r="A20" s="2"/>
      <c r="B20" s="2"/>
    </row>
    <row r="21" spans="1:2" x14ac:dyDescent="0.2">
      <c r="A21" s="2"/>
      <c r="B21" s="2"/>
    </row>
    <row r="22" spans="1:2" x14ac:dyDescent="0.2">
      <c r="A22" s="2"/>
      <c r="B22" s="2"/>
    </row>
    <row r="23" spans="1:2" x14ac:dyDescent="0.2">
      <c r="A23" s="2"/>
      <c r="B23" s="2"/>
    </row>
    <row r="24" spans="1:2" x14ac:dyDescent="0.2">
      <c r="A24" s="2"/>
      <c r="B24" s="2"/>
    </row>
    <row r="25" spans="1:2" x14ac:dyDescent="0.2">
      <c r="A25" s="2"/>
    </row>
    <row r="26" spans="1:2" x14ac:dyDescent="0.2">
      <c r="A26" s="2"/>
    </row>
    <row r="27" spans="1:2" x14ac:dyDescent="0.2">
      <c r="A27" s="2"/>
    </row>
    <row r="28" spans="1:2" x14ac:dyDescent="0.2">
      <c r="A28" s="2"/>
    </row>
    <row r="29" spans="1:2" x14ac:dyDescent="0.2">
      <c r="A29" s="2"/>
    </row>
    <row r="30" spans="1:2" x14ac:dyDescent="0.2">
      <c r="A30" s="2"/>
    </row>
    <row r="31" spans="1:2" x14ac:dyDescent="0.2">
      <c r="A31" s="2"/>
    </row>
    <row r="32" spans="1:2" x14ac:dyDescent="0.2">
      <c r="A32" s="2"/>
    </row>
    <row r="33" spans="1:1" x14ac:dyDescent="0.2">
      <c r="A33" s="2"/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35323-3A6F-4A63-911B-A21777D81D49}">
  <sheetPr codeName="List3">
    <tabColor theme="8" tint="0.39997558519241921"/>
  </sheetPr>
  <dimension ref="A1:J9"/>
  <sheetViews>
    <sheetView workbookViewId="0">
      <selection activeCell="I28" sqref="I28"/>
    </sheetView>
  </sheetViews>
  <sheetFormatPr defaultColWidth="9.140625" defaultRowHeight="13.5" x14ac:dyDescent="0.25"/>
  <cols>
    <col min="1" max="1" width="23.7109375" style="5" bestFit="1" customWidth="1"/>
    <col min="2" max="2" width="4.5703125" style="3" bestFit="1" customWidth="1"/>
    <col min="3" max="3" width="16.28515625" style="3" bestFit="1" customWidth="1"/>
    <col min="4" max="4" width="23.7109375" style="3" bestFit="1" customWidth="1"/>
    <col min="5" max="5" width="14.140625" style="3" bestFit="1" customWidth="1"/>
    <col min="6" max="6" width="12.7109375" style="7" bestFit="1" customWidth="1"/>
    <col min="7" max="7" width="12" style="4" bestFit="1" customWidth="1"/>
    <col min="8" max="8" width="15.85546875" style="3" bestFit="1" customWidth="1"/>
    <col min="9" max="9" width="14" style="5" bestFit="1" customWidth="1"/>
    <col min="10" max="10" width="9.5703125" style="5" bestFit="1" customWidth="1"/>
    <col min="11" max="16384" width="9.140625" style="5"/>
  </cols>
  <sheetData>
    <row r="1" spans="1:10" x14ac:dyDescent="0.25">
      <c r="A1" s="9"/>
      <c r="B1" s="9" t="s">
        <v>31</v>
      </c>
      <c r="C1" s="9" t="s">
        <v>12</v>
      </c>
      <c r="D1" s="9" t="s">
        <v>10</v>
      </c>
      <c r="E1" s="9" t="s">
        <v>32</v>
      </c>
      <c r="F1" s="9" t="s">
        <v>11</v>
      </c>
      <c r="G1" s="9" t="s">
        <v>33</v>
      </c>
      <c r="H1" s="9" t="s">
        <v>6</v>
      </c>
      <c r="I1" s="9" t="s">
        <v>34</v>
      </c>
      <c r="J1" s="5" t="s">
        <v>28</v>
      </c>
    </row>
    <row r="2" spans="1:10" x14ac:dyDescent="0.25">
      <c r="A2" s="8" t="s">
        <v>31</v>
      </c>
      <c r="B2" s="8">
        <v>0</v>
      </c>
      <c r="C2" s="8">
        <v>297</v>
      </c>
      <c r="D2" s="8">
        <v>206</v>
      </c>
      <c r="E2" s="8">
        <v>211</v>
      </c>
      <c r="F2" s="8">
        <v>209</v>
      </c>
      <c r="G2" s="8">
        <v>214</v>
      </c>
      <c r="H2" s="8">
        <v>211</v>
      </c>
      <c r="I2" s="8">
        <v>214</v>
      </c>
      <c r="J2" s="5" t="s">
        <v>30</v>
      </c>
    </row>
    <row r="3" spans="1:10" x14ac:dyDescent="0.25">
      <c r="A3" s="8" t="s">
        <v>12</v>
      </c>
      <c r="B3" s="8">
        <v>297</v>
      </c>
      <c r="C3" s="8">
        <v>0</v>
      </c>
      <c r="D3" s="8">
        <v>91</v>
      </c>
      <c r="E3" s="8">
        <v>91</v>
      </c>
      <c r="F3" s="8">
        <v>91</v>
      </c>
      <c r="G3" s="8">
        <v>93</v>
      </c>
      <c r="H3" s="8">
        <v>94</v>
      </c>
      <c r="I3" s="8">
        <v>92</v>
      </c>
      <c r="J3" s="5" t="s">
        <v>30</v>
      </c>
    </row>
    <row r="4" spans="1:10" x14ac:dyDescent="0.25">
      <c r="A4" s="8" t="s">
        <v>10</v>
      </c>
      <c r="B4" s="8">
        <v>206</v>
      </c>
      <c r="C4" s="8">
        <v>91</v>
      </c>
      <c r="D4" s="8">
        <v>0</v>
      </c>
      <c r="E4" s="8">
        <v>4</v>
      </c>
      <c r="F4" s="8">
        <v>5</v>
      </c>
      <c r="G4" s="8">
        <v>15</v>
      </c>
      <c r="H4" s="8">
        <v>14</v>
      </c>
      <c r="I4" s="8">
        <v>20</v>
      </c>
      <c r="J4" s="5" t="s">
        <v>18</v>
      </c>
    </row>
    <row r="5" spans="1:10" x14ac:dyDescent="0.25">
      <c r="A5" s="8" t="s">
        <v>32</v>
      </c>
      <c r="B5" s="8">
        <v>211</v>
      </c>
      <c r="C5" s="8">
        <v>91</v>
      </c>
      <c r="D5" s="8">
        <v>4</v>
      </c>
      <c r="E5" s="8">
        <v>0</v>
      </c>
      <c r="F5" s="8">
        <v>3</v>
      </c>
      <c r="G5" s="8">
        <v>16</v>
      </c>
      <c r="H5" s="8">
        <v>15</v>
      </c>
      <c r="I5" s="8">
        <v>21</v>
      </c>
      <c r="J5" s="5" t="s">
        <v>18</v>
      </c>
    </row>
    <row r="6" spans="1:10" x14ac:dyDescent="0.25">
      <c r="A6" s="8" t="s">
        <v>11</v>
      </c>
      <c r="B6" s="8">
        <v>209</v>
      </c>
      <c r="C6" s="8">
        <v>91</v>
      </c>
      <c r="D6" s="8">
        <v>5</v>
      </c>
      <c r="E6" s="8">
        <v>3</v>
      </c>
      <c r="F6" s="8">
        <v>0</v>
      </c>
      <c r="G6" s="8">
        <v>17</v>
      </c>
      <c r="H6" s="8">
        <v>16</v>
      </c>
      <c r="I6" s="8">
        <v>22</v>
      </c>
      <c r="J6" s="5" t="s">
        <v>18</v>
      </c>
    </row>
    <row r="7" spans="1:10" x14ac:dyDescent="0.25">
      <c r="A7" s="8" t="s">
        <v>33</v>
      </c>
      <c r="B7" s="8">
        <v>214</v>
      </c>
      <c r="C7" s="8">
        <v>93</v>
      </c>
      <c r="D7" s="8">
        <v>15</v>
      </c>
      <c r="E7" s="8">
        <v>16</v>
      </c>
      <c r="F7" s="8">
        <v>17</v>
      </c>
      <c r="G7" s="8">
        <v>0</v>
      </c>
      <c r="H7" s="8">
        <v>10</v>
      </c>
      <c r="I7" s="8">
        <v>20</v>
      </c>
      <c r="J7" s="5" t="s">
        <v>18</v>
      </c>
    </row>
    <row r="8" spans="1:10" x14ac:dyDescent="0.25">
      <c r="A8" s="8" t="s">
        <v>6</v>
      </c>
      <c r="B8" s="8">
        <v>211</v>
      </c>
      <c r="C8" s="8">
        <v>94</v>
      </c>
      <c r="D8" s="8">
        <v>14</v>
      </c>
      <c r="E8" s="8">
        <v>15</v>
      </c>
      <c r="F8" s="8">
        <v>16</v>
      </c>
      <c r="G8" s="8">
        <v>10</v>
      </c>
      <c r="H8" s="8">
        <v>0</v>
      </c>
      <c r="I8" s="8">
        <v>18</v>
      </c>
      <c r="J8" s="5" t="s">
        <v>18</v>
      </c>
    </row>
    <row r="9" spans="1:10" x14ac:dyDescent="0.25">
      <c r="A9" s="8" t="s">
        <v>34</v>
      </c>
      <c r="B9" s="8">
        <v>214</v>
      </c>
      <c r="C9" s="8">
        <v>92</v>
      </c>
      <c r="D9" s="8">
        <v>20</v>
      </c>
      <c r="E9" s="8">
        <v>21</v>
      </c>
      <c r="F9" s="8">
        <v>22</v>
      </c>
      <c r="G9" s="8">
        <v>20</v>
      </c>
      <c r="H9" s="8">
        <v>18</v>
      </c>
      <c r="I9" s="8">
        <v>0</v>
      </c>
      <c r="J9" s="5" t="s">
        <v>18</v>
      </c>
    </row>
  </sheetData>
  <conditionalFormatting sqref="B2:I9">
    <cfRule type="cellIs" dxfId="2" priority="1" stopIfTrue="1" operator="equal">
      <formula>0</formula>
    </cfRule>
    <cfRule type="cellIs" dxfId="1" priority="2" operator="between">
      <formula>0</formula>
      <formula>3</formula>
    </cfRule>
    <cfRule type="cellIs" dxfId="0" priority="3" operator="greaterThan">
      <formula>3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5</vt:i4>
      </vt:variant>
    </vt:vector>
  </HeadingPairs>
  <TitlesOfParts>
    <vt:vector size="5" baseType="lpstr">
      <vt:lpstr>Konfigurace a start</vt:lpstr>
      <vt:lpstr>Auta</vt:lpstr>
      <vt:lpstr>Nákup PHM</vt:lpstr>
      <vt:lpstr>Čerpací stanice</vt:lpstr>
      <vt:lpstr>Lokality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Mauer Jan</dc:creator>
  <cp:lastModifiedBy>Mauer Jan</cp:lastModifiedBy>
  <cp:lastPrinted>2025-07-22T20:19:32Z</cp:lastPrinted>
  <dcterms:created xsi:type="dcterms:W3CDTF">2025-07-09T18:21:36Z</dcterms:created>
  <dcterms:modified xsi:type="dcterms:W3CDTF">2025-07-22T21:01:30Z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aea042c-a03b-4f42-9230-ed9e54821bd9_Enabled">
    <vt:lpwstr>true</vt:lpwstr>
  </property>
  <property fmtid="{D5CDD505-2E9C-101B-9397-08002B2CF9AE}" pid="3" name="MSIP_Label_7aea042c-a03b-4f42-9230-ed9e54821bd9_SetDate">
    <vt:lpwstr>2025-07-17T00:30:01Z</vt:lpwstr>
  </property>
  <property fmtid="{D5CDD505-2E9C-101B-9397-08002B2CF9AE}" pid="4" name="MSIP_Label_7aea042c-a03b-4f42-9230-ed9e54821bd9_Method">
    <vt:lpwstr>Privileged</vt:lpwstr>
  </property>
  <property fmtid="{D5CDD505-2E9C-101B-9397-08002B2CF9AE}" pid="5" name="MSIP_Label_7aea042c-a03b-4f42-9230-ed9e54821bd9_Name">
    <vt:lpwstr>Veřejné-CZE-Neviditelna</vt:lpwstr>
  </property>
  <property fmtid="{D5CDD505-2E9C-101B-9397-08002B2CF9AE}" pid="6" name="MSIP_Label_7aea042c-a03b-4f42-9230-ed9e54821bd9_SiteId">
    <vt:lpwstr>cbeb3ecc-6f45-4183-b5a8-088140deae5d</vt:lpwstr>
  </property>
  <property fmtid="{D5CDD505-2E9C-101B-9397-08002B2CF9AE}" pid="7" name="MSIP_Label_7aea042c-a03b-4f42-9230-ed9e54821bd9_ActionId">
    <vt:lpwstr>bf601a9b-72e0-4c15-a09c-0dca4ca255db</vt:lpwstr>
  </property>
  <property fmtid="{D5CDD505-2E9C-101B-9397-08002B2CF9AE}" pid="8" name="MSIP_Label_7aea042c-a03b-4f42-9230-ed9e54821bd9_ContentBits">
    <vt:lpwstr>0</vt:lpwstr>
  </property>
  <property fmtid="{D5CDD505-2E9C-101B-9397-08002B2CF9AE}" pid="9" name="MSIP_Label_7aea042c-a03b-4f42-9230-ed9e54821bd9_Tag">
    <vt:lpwstr>10, 0, 1, 1</vt:lpwstr>
  </property>
</Properties>
</file>